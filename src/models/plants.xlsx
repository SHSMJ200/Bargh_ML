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ML_project\Bargh_ML\src\models\"/>
    </mc:Choice>
  </mc:AlternateContent>
  <xr:revisionPtr revIDLastSave="0" documentId="13_ncr:1_{BD4F82E3-390A-4A5D-A85B-F2CCE5543FD8}" xr6:coauthVersionLast="47" xr6:coauthVersionMax="47" xr10:uidLastSave="{00000000-0000-0000-0000-000000000000}"/>
  <bookViews>
    <workbookView xWindow="-108" yWindow="-108" windowWidth="23256" windowHeight="12456" xr2:uid="{E6CCD36C-D5ED-4E60-80BD-3B28E8941F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5" i="1" l="1"/>
  <c r="M75" i="1"/>
  <c r="N75" i="1"/>
  <c r="O75" i="1"/>
  <c r="L76" i="1"/>
  <c r="M76" i="1"/>
  <c r="N76" i="1"/>
  <c r="O76" i="1"/>
  <c r="L77" i="1"/>
  <c r="M77" i="1"/>
  <c r="N77" i="1"/>
  <c r="O77" i="1"/>
  <c r="K77" i="1"/>
  <c r="K75" i="1"/>
  <c r="K76" i="1"/>
  <c r="O80" i="1" l="1"/>
  <c r="N80" i="1"/>
  <c r="M80" i="1"/>
  <c r="K80" i="1"/>
  <c r="L80" i="1"/>
</calcChain>
</file>

<file path=xl/sharedStrings.xml><?xml version="1.0" encoding="utf-8"?>
<sst xmlns="http://schemas.openxmlformats.org/spreadsheetml/2006/main" count="602" uniqueCount="114">
  <si>
    <t>name</t>
  </si>
  <si>
    <t>code</t>
  </si>
  <si>
    <t>flag</t>
  </si>
  <si>
    <t>des</t>
  </si>
  <si>
    <t>جنوب اصفهان - چهلستون</t>
  </si>
  <si>
    <t>G11</t>
  </si>
  <si>
    <t>no</t>
  </si>
  <si>
    <t>G12</t>
  </si>
  <si>
    <t>G13</t>
  </si>
  <si>
    <t>G14</t>
  </si>
  <si>
    <t>G15</t>
  </si>
  <si>
    <t>خط بده</t>
  </si>
  <si>
    <t>G16</t>
  </si>
  <si>
    <t>حافظ</t>
  </si>
  <si>
    <t>سبلان</t>
  </si>
  <si>
    <t>سیکل ترکیبی ارومیه</t>
  </si>
  <si>
    <t>سیکل ترکیبی یزد</t>
  </si>
  <si>
    <t>آشغاله</t>
  </si>
  <si>
    <t>شهدای پیروز - بهبهان</t>
  </si>
  <si>
    <t>عسلویه</t>
  </si>
  <si>
    <t>خط بد بود</t>
  </si>
  <si>
    <t>پرند</t>
  </si>
  <si>
    <t>خط خوب فیت نشده</t>
  </si>
  <si>
    <t>گیلان</t>
  </si>
  <si>
    <t>شهدای پاکدشت - دماوند</t>
  </si>
  <si>
    <t>turbo</t>
  </si>
  <si>
    <t>G19</t>
  </si>
  <si>
    <t>خط بد شکست</t>
  </si>
  <si>
    <t>G22</t>
  </si>
  <si>
    <t>داده کم داریم و بد بود</t>
  </si>
  <si>
    <t>سیکل ترکیبی شیروان</t>
  </si>
  <si>
    <t>در تشخیص turbo گند زده</t>
  </si>
  <si>
    <t>G17</t>
  </si>
  <si>
    <t>G18</t>
  </si>
  <si>
    <t>G20</t>
  </si>
  <si>
    <t>G21</t>
  </si>
  <si>
    <t>قم</t>
  </si>
  <si>
    <t>تصحیح خط</t>
  </si>
  <si>
    <t>خوب</t>
  </si>
  <si>
    <t>بد</t>
  </si>
  <si>
    <t>قابل قبول</t>
  </si>
  <si>
    <t>شیب تند تر بشود</t>
  </si>
  <si>
    <t>اگر دما را تا ۲۵ میگرفت بهتر بود</t>
  </si>
  <si>
    <t>شیب کند تر بشود</t>
  </si>
  <si>
    <t>کمبود داده</t>
  </si>
  <si>
    <t>توضیخات</t>
  </si>
  <si>
    <t>توضیخات2</t>
  </si>
  <si>
    <t>نمیدونم چیه</t>
  </si>
  <si>
    <t>مدل آموزش دیده روی داده های نرمال</t>
  </si>
  <si>
    <t>باید از یک دمایی به بعد توربو دیده شود شاید</t>
  </si>
  <si>
    <t>Column1</t>
  </si>
  <si>
    <t>بررسی سه مدل - line</t>
  </si>
  <si>
    <t>بررسی سه مدل - quantile</t>
  </si>
  <si>
    <t>بررسی مدل - pwlf_2</t>
  </si>
  <si>
    <t>بررسی مدل - pwlf_2Quan</t>
  </si>
  <si>
    <t>بررسی مدل - smart</t>
  </si>
  <si>
    <t>ق</t>
  </si>
  <si>
    <t>خ</t>
  </si>
  <si>
    <t>۱ - ۲ -  ۰.۲۸</t>
  </si>
  <si>
    <t>۱ - ۱ - ۰.۲۱</t>
  </si>
  <si>
    <t>ب</t>
  </si>
  <si>
    <t>۱ - ۱۲ - ۰/۲۲</t>
  </si>
  <si>
    <t>۱ - ۱۲ - ۰.۰۱</t>
  </si>
  <si>
    <t>۱ - ۱۲ - ۰.۲۵</t>
  </si>
  <si>
    <t>۲ - ۲ - ۰.۴۴</t>
  </si>
  <si>
    <t>بررسی سه مدل - line-20</t>
  </si>
  <si>
    <t>۲ - ۲ - ۰.۶۹</t>
  </si>
  <si>
    <t>۲ - ۲ - ۰.۸۱</t>
  </si>
  <si>
    <t>۲ - ۲ - ۰/۶۸</t>
  </si>
  <si>
    <t>۲ - ۲ - ۰/۶۵</t>
  </si>
  <si>
    <t>۲ - ۲ - ۰/۳۹</t>
  </si>
  <si>
    <t>۲ - ۲۱ - ۰/۵۱</t>
  </si>
  <si>
    <t>۱ - ۱۲ - ۰/۲</t>
  </si>
  <si>
    <t>۲ - ۲۱ - ۰/۴۷</t>
  </si>
  <si>
    <t>۲ - ۱ - ۰/۶۵</t>
  </si>
  <si>
    <t>۲ - ۱ - ۰/۶۳</t>
  </si>
  <si>
    <t>۲ - ۱ - ۰.۶۲</t>
  </si>
  <si>
    <t>۲ - ۱ - ۰.۶۱</t>
  </si>
  <si>
    <t>۲ - ۱ - ۰.۴۵</t>
  </si>
  <si>
    <t>۱ - ۲ - ۰.۲۸</t>
  </si>
  <si>
    <t>۲ - ۲ - ۰.۳۷</t>
  </si>
  <si>
    <t>۲ - ۲ - ۰.۳۴</t>
  </si>
  <si>
    <t>۱ - ۲ - ۰.۲۲</t>
  </si>
  <si>
    <t>۲ - ۲۱ - ۰/۳۸</t>
  </si>
  <si>
    <t>۲ - ۲۱ - ۰/۳۵</t>
  </si>
  <si>
    <t>۲ - ۲۱ - ۰/۴۸</t>
  </si>
  <si>
    <t>۱ - ۱۲ - ۰/۱۵</t>
  </si>
  <si>
    <t>۱ - ۱ - ۰/۲۸</t>
  </si>
  <si>
    <t>قبل ۰ رو بگیریم</t>
  </si>
  <si>
    <t>۱ - ۲ - ۰/۱۷</t>
  </si>
  <si>
    <t>۱ - ۱ - ۰/۰۵</t>
  </si>
  <si>
    <t>۲ - ۲ - ۰/۴۲</t>
  </si>
  <si>
    <t>۲ - ۲- ۰/۳۳</t>
  </si>
  <si>
    <t>۱ - ۱ - ۰/۰۸</t>
  </si>
  <si>
    <t>۱ - ۱۲ - ۰/۰۷</t>
  </si>
  <si>
    <t>۱ - ۱- ۰/۰۶</t>
  </si>
  <si>
    <t>۲ - ۲ - ۰/۷۳</t>
  </si>
  <si>
    <t>۱ - ۱ -  ۰/۱۵</t>
  </si>
  <si>
    <t>۲ - ۱ -  ۰/۳۰</t>
  </si>
  <si>
    <t>۱ - ۱ - ۰/۲۳</t>
  </si>
  <si>
    <t>۲ - ۱ - ۰/۵۵</t>
  </si>
  <si>
    <t>۲ - ۱ - ۰/۵</t>
  </si>
  <si>
    <t>۱ - ۱ - ۰/۲۵</t>
  </si>
  <si>
    <t>۲ - ۱ - ۰/۴۳</t>
  </si>
  <si>
    <t>۲ - ۲ - ۰/۳۶</t>
  </si>
  <si>
    <t>۱ - ۱ - ۰/۰۳</t>
  </si>
  <si>
    <t>۲ - ۱ - ۰/۵۴</t>
  </si>
  <si>
    <t>توضیحات</t>
  </si>
  <si>
    <t>بررسی مدل - sep_quantile</t>
  </si>
  <si>
    <t>مقابسه sep با line_95</t>
  </si>
  <si>
    <t>Column2</t>
  </si>
  <si>
    <t>2_line</t>
  </si>
  <si>
    <t>برای این ها ایده‌ی مینیمم خط و دو خط ایده‌ی خوبی است</t>
  </si>
  <si>
    <t>ایده‌: خط چپ نمودار رو یک واحد پایین بیاوریم.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</si>
</sst>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000]dd\-mmm"/>
  </numFmts>
  <fonts count="5" x14ac:knownFonts="1">
    <font>
      <sz val="11"/>
      <color theme="1"/>
      <name val="Calibri"/>
      <family val="2"/>
      <charset val="178"/>
      <scheme val="minor"/>
    </font>
    <font>
      <sz val="10"/>
      <color rgb="FF434343"/>
      <name val="Roboto"/>
    </font>
    <font>
      <sz val="10"/>
      <color theme="1"/>
      <name val="Calibri"/>
      <family val="2"/>
      <scheme val="minor"/>
    </font>
    <font>
      <sz val="10"/>
      <color rgb="FFFFFFFF"/>
      <name val="Roboto"/>
    </font>
    <font>
      <sz val="8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/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/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/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/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164" fontId="0" fillId="0" borderId="0" xfId="0" applyNumberFormat="1"/>
    <xf numFmtId="0" fontId="1" fillId="4" borderId="1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6F8F9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6F8F9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F6F8F9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rgb="FFF6F8F9"/>
        </right>
        <top style="medium">
          <color rgb="FFCCCCCC"/>
        </top>
        <bottom style="medium">
          <color rgb="FFF6F8F9"/>
        </bottom>
        <vertical/>
        <horizontal/>
      </border>
    </dxf>
    <dxf>
      <border outline="0">
        <left style="medium">
          <color rgb="FF284E3F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indexed="64"/>
          <bgColor rgb="FF35685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505E1E-5474-4951-B96F-41DB2CC1E6DA}" name="Table1" displayName="Table1" ref="A1:T73" totalsRowShown="0" headerRowDxfId="5" tableBorderDxfId="4">
  <autoFilter ref="A1:T73" xr:uid="{37505E1E-5474-4951-B96F-41DB2CC1E6DA}">
    <filterColumn colId="3">
      <filters>
        <filter val="no"/>
      </filters>
    </filterColumn>
  </autoFilter>
  <sortState xmlns:xlrd2="http://schemas.microsoft.com/office/spreadsheetml/2017/richdata2" ref="A2:T73">
    <sortCondition ref="A1:A73"/>
  </sortState>
  <tableColumns count="20">
    <tableColumn id="1" xr3:uid="{BE09070C-413C-4D60-A5A3-F43468248C03}" name="name" dataDxfId="3"/>
    <tableColumn id="2" xr3:uid="{CBA15ACE-1744-40BF-A439-F83EF0FD634E}" name="code" dataDxfId="2"/>
    <tableColumn id="19" xr3:uid="{78E84E6F-A2A9-4B0E-BC2A-A6A0739CAA8F}" name="Column2"/>
    <tableColumn id="3" xr3:uid="{A161F37B-BD4C-4390-8644-4D809C8F6428}" name="flag" dataDxfId="1"/>
    <tableColumn id="4" xr3:uid="{404063FE-04A9-4891-B768-BC13F40E8AA1}" name="des"/>
    <tableColumn id="5" xr3:uid="{9B47AA92-E7B1-44D7-9E61-036556A69E21}" name="تصحیح خط"/>
    <tableColumn id="6" xr3:uid="{F14F46E9-A905-412C-B3EE-8B8D84A9BF5A}" name="توضیخات"/>
    <tableColumn id="7" xr3:uid="{0AAAEC8A-4605-4F10-A167-9DD485FECDFA}" name="توضیخات2"/>
    <tableColumn id="8" xr3:uid="{2022699F-04B4-4254-8A5F-946D5A661A89}" name="مدل آموزش دیده روی داده های نرمال"/>
    <tableColumn id="9" xr3:uid="{A1F2B03B-F613-4E72-B2F2-F5389B03DA8B}" name="Column1"/>
    <tableColumn id="10" xr3:uid="{F5A68BD9-AC7E-428E-A89F-18A00976D3BD}" name="بررسی سه مدل - line"/>
    <tableColumn id="11" xr3:uid="{5B1603E5-A70B-4C5C-B29E-1E27D98F3AFC}" name="بررسی سه مدل - line-20"/>
    <tableColumn id="12" xr3:uid="{A6C25B98-D088-4965-B072-33B7D8CB0086}" name="بررسی سه مدل - quantile"/>
    <tableColumn id="13" xr3:uid="{971C0982-D37C-498E-9CA6-387BF4C75614}" name="بررسی مدل - pwlf_2"/>
    <tableColumn id="14" xr3:uid="{993DEFA0-A110-4653-8422-170F2F14C9DA}" name="بررسی مدل - pwlf_2Quan"/>
    <tableColumn id="15" xr3:uid="{51AE6E4F-D6AF-4A30-AC61-C16FD3C6FC1F}" name="بررسی مدل - smart"/>
    <tableColumn id="16" xr3:uid="{F1F25D56-ACFF-4395-8901-D977BE931038}" name="توضیحات"/>
    <tableColumn id="17" xr3:uid="{35BC286D-7F96-40A5-9AC6-FE0D5F2164D8}" name="بررسی مدل - sep_quantile"/>
    <tableColumn id="18" xr3:uid="{B17DD5A3-A0FD-47AC-800A-EF5D109EE59B}" name="مقابسه sep با line_95"/>
    <tableColumn id="20" xr3:uid="{C085646C-E8F1-452C-87A8-2C5CCB5060A7}" name="2_li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571D-7320-448D-A15A-BAF518B3E586}">
  <dimension ref="A1:U80"/>
  <sheetViews>
    <sheetView rightToLeft="1" tabSelected="1" zoomScale="106" workbookViewId="0">
      <pane xSplit="2" topLeftCell="P1" activePane="topRight" state="frozen"/>
      <selection pane="topRight" activeCell="U16" sqref="U16"/>
    </sheetView>
  </sheetViews>
  <sheetFormatPr defaultRowHeight="14.4" x14ac:dyDescent="0.3"/>
  <cols>
    <col min="1" max="1" width="16.88671875" bestFit="1" customWidth="1"/>
    <col min="2" max="2" width="9.6640625" bestFit="1" customWidth="1"/>
    <col min="4" max="4" width="8.77734375" bestFit="1" customWidth="1"/>
    <col min="5" max="5" width="18.33203125" bestFit="1" customWidth="1"/>
    <col min="6" max="6" width="12.6640625" bestFit="1" customWidth="1"/>
    <col min="7" max="7" width="22.88671875" bestFit="1" customWidth="1"/>
    <col min="8" max="8" width="12.6640625" bestFit="1" customWidth="1"/>
    <col min="9" max="9" width="30" bestFit="1" customWidth="1"/>
    <col min="10" max="10" width="30.5546875" bestFit="1" customWidth="1"/>
    <col min="11" max="11" width="20" bestFit="1" customWidth="1"/>
    <col min="12" max="12" width="24.33203125" bestFit="1" customWidth="1"/>
    <col min="13" max="13" width="24" bestFit="1" customWidth="1"/>
    <col min="14" max="14" width="20" bestFit="1" customWidth="1"/>
    <col min="15" max="15" width="24.6640625" bestFit="1" customWidth="1"/>
    <col min="16" max="16" width="21.109375" bestFit="1" customWidth="1"/>
    <col min="17" max="17" width="13.33203125" bestFit="1" customWidth="1"/>
    <col min="18" max="18" width="25.88671875" bestFit="1" customWidth="1"/>
    <col min="19" max="19" width="17.77734375" bestFit="1" customWidth="1"/>
    <col min="20" max="20" width="9.6640625" customWidth="1"/>
    <col min="21" max="21" width="39.77734375" bestFit="1" customWidth="1"/>
  </cols>
  <sheetData>
    <row r="1" spans="1:21" ht="15" thickBot="1" x14ac:dyDescent="0.35">
      <c r="A1" s="14" t="s">
        <v>0</v>
      </c>
      <c r="B1" s="1" t="s">
        <v>1</v>
      </c>
      <c r="C1" t="s">
        <v>110</v>
      </c>
      <c r="D1" s="1" t="s">
        <v>2</v>
      </c>
      <c r="E1" s="2" t="s">
        <v>3</v>
      </c>
      <c r="F1" s="11" t="s">
        <v>37</v>
      </c>
      <c r="G1" s="11" t="s">
        <v>45</v>
      </c>
      <c r="H1" s="11" t="s">
        <v>46</v>
      </c>
      <c r="I1" s="11" t="s">
        <v>48</v>
      </c>
      <c r="J1" s="11" t="s">
        <v>50</v>
      </c>
      <c r="K1" s="11" t="s">
        <v>51</v>
      </c>
      <c r="L1" s="11" t="s">
        <v>65</v>
      </c>
      <c r="M1" s="11" t="s">
        <v>52</v>
      </c>
      <c r="N1" s="11" t="s">
        <v>53</v>
      </c>
      <c r="O1" s="11" t="s">
        <v>54</v>
      </c>
      <c r="P1" s="11" t="s">
        <v>55</v>
      </c>
      <c r="Q1" s="11" t="s">
        <v>107</v>
      </c>
      <c r="R1" s="11" t="s">
        <v>108</v>
      </c>
      <c r="S1" s="11" t="s">
        <v>109</v>
      </c>
      <c r="T1" s="1" t="s">
        <v>111</v>
      </c>
    </row>
    <row r="2" spans="1:21" ht="15" thickBot="1" x14ac:dyDescent="0.35">
      <c r="A2" s="15" t="s">
        <v>21</v>
      </c>
      <c r="B2" s="3" t="s">
        <v>5</v>
      </c>
      <c r="D2" s="3" t="s">
        <v>6</v>
      </c>
      <c r="E2" s="4"/>
      <c r="K2" t="s">
        <v>56</v>
      </c>
      <c r="L2" t="s">
        <v>57</v>
      </c>
      <c r="M2" t="s">
        <v>56</v>
      </c>
      <c r="N2" t="s">
        <v>56</v>
      </c>
      <c r="O2" t="s">
        <v>57</v>
      </c>
      <c r="P2" t="s">
        <v>58</v>
      </c>
      <c r="T2" s="3"/>
      <c r="U2" s="23" t="s">
        <v>112</v>
      </c>
    </row>
    <row r="3" spans="1:21" ht="15" thickBot="1" x14ac:dyDescent="0.35">
      <c r="A3" s="16" t="s">
        <v>21</v>
      </c>
      <c r="B3" s="5" t="s">
        <v>7</v>
      </c>
      <c r="D3" s="5" t="s">
        <v>6</v>
      </c>
      <c r="E3" s="8" t="s">
        <v>22</v>
      </c>
      <c r="K3" t="s">
        <v>56</v>
      </c>
      <c r="L3" t="s">
        <v>56</v>
      </c>
      <c r="M3" t="s">
        <v>57</v>
      </c>
      <c r="N3" t="s">
        <v>56</v>
      </c>
      <c r="O3" t="s">
        <v>57</v>
      </c>
      <c r="P3" t="s">
        <v>59</v>
      </c>
      <c r="T3" s="5"/>
      <c r="U3" s="23"/>
    </row>
    <row r="4" spans="1:21" ht="15" thickBot="1" x14ac:dyDescent="0.35">
      <c r="A4" s="15" t="s">
        <v>21</v>
      </c>
      <c r="B4" s="3" t="s">
        <v>8</v>
      </c>
      <c r="D4" s="3" t="s">
        <v>6</v>
      </c>
      <c r="E4" s="7" t="s">
        <v>22</v>
      </c>
      <c r="K4" t="s">
        <v>56</v>
      </c>
      <c r="L4" t="s">
        <v>56</v>
      </c>
      <c r="M4" t="s">
        <v>57</v>
      </c>
      <c r="N4" t="s">
        <v>60</v>
      </c>
      <c r="O4" t="s">
        <v>57</v>
      </c>
      <c r="P4" t="s">
        <v>62</v>
      </c>
      <c r="T4" s="3"/>
      <c r="U4" s="23"/>
    </row>
    <row r="5" spans="1:21" ht="15" thickBot="1" x14ac:dyDescent="0.35">
      <c r="A5" s="16" t="s">
        <v>21</v>
      </c>
      <c r="B5" s="5" t="s">
        <v>9</v>
      </c>
      <c r="D5" s="5" t="s">
        <v>6</v>
      </c>
      <c r="E5" s="6"/>
      <c r="K5" t="s">
        <v>56</v>
      </c>
      <c r="L5" t="s">
        <v>56</v>
      </c>
      <c r="M5" t="s">
        <v>57</v>
      </c>
      <c r="N5" t="s">
        <v>56</v>
      </c>
      <c r="O5" t="s">
        <v>57</v>
      </c>
      <c r="P5" t="s">
        <v>61</v>
      </c>
      <c r="T5" s="5"/>
      <c r="U5" s="23"/>
    </row>
    <row r="6" spans="1:21" ht="15" thickBot="1" x14ac:dyDescent="0.35">
      <c r="A6" s="15" t="s">
        <v>21</v>
      </c>
      <c r="B6" s="3" t="s">
        <v>10</v>
      </c>
      <c r="D6" s="3" t="s">
        <v>6</v>
      </c>
      <c r="E6" s="4"/>
      <c r="K6" t="s">
        <v>56</v>
      </c>
      <c r="L6" t="s">
        <v>57</v>
      </c>
      <c r="M6" t="s">
        <v>57</v>
      </c>
      <c r="N6" t="s">
        <v>56</v>
      </c>
      <c r="O6" t="s">
        <v>57</v>
      </c>
      <c r="P6" t="s">
        <v>63</v>
      </c>
      <c r="T6" s="3"/>
      <c r="U6" s="23"/>
    </row>
    <row r="7" spans="1:21" ht="15" thickBot="1" x14ac:dyDescent="0.35">
      <c r="A7" s="16" t="s">
        <v>21</v>
      </c>
      <c r="B7" s="5" t="s">
        <v>12</v>
      </c>
      <c r="D7" s="5" t="s">
        <v>6</v>
      </c>
      <c r="E7" s="6"/>
      <c r="K7" t="s">
        <v>56</v>
      </c>
      <c r="L7" t="s">
        <v>57</v>
      </c>
      <c r="M7" t="s">
        <v>57</v>
      </c>
      <c r="N7" t="s">
        <v>56</v>
      </c>
      <c r="O7" t="s">
        <v>57</v>
      </c>
      <c r="P7" t="s">
        <v>64</v>
      </c>
      <c r="T7" s="5"/>
      <c r="U7" s="23"/>
    </row>
    <row r="8" spans="1:21" ht="15" thickBot="1" x14ac:dyDescent="0.35">
      <c r="A8" s="15" t="s">
        <v>4</v>
      </c>
      <c r="B8" s="3" t="s">
        <v>5</v>
      </c>
      <c r="D8" s="3" t="s">
        <v>6</v>
      </c>
      <c r="E8" s="4"/>
      <c r="K8" t="s">
        <v>56</v>
      </c>
      <c r="L8" t="s">
        <v>60</v>
      </c>
      <c r="M8" t="s">
        <v>56</v>
      </c>
      <c r="N8" t="s">
        <v>56</v>
      </c>
      <c r="O8" t="s">
        <v>57</v>
      </c>
      <c r="P8" t="s">
        <v>66</v>
      </c>
      <c r="T8" s="3"/>
      <c r="U8" s="23" t="s">
        <v>113</v>
      </c>
    </row>
    <row r="9" spans="1:21" ht="15" thickBot="1" x14ac:dyDescent="0.35">
      <c r="A9" s="16" t="s">
        <v>4</v>
      </c>
      <c r="B9" s="5" t="s">
        <v>7</v>
      </c>
      <c r="D9" s="5" t="s">
        <v>6</v>
      </c>
      <c r="E9" s="6"/>
      <c r="K9" t="s">
        <v>56</v>
      </c>
      <c r="L9" t="s">
        <v>60</v>
      </c>
      <c r="M9" t="s">
        <v>60</v>
      </c>
      <c r="N9" t="s">
        <v>56</v>
      </c>
      <c r="O9" t="s">
        <v>57</v>
      </c>
      <c r="P9" t="s">
        <v>67</v>
      </c>
      <c r="T9" s="5"/>
      <c r="U9" s="23"/>
    </row>
    <row r="10" spans="1:21" ht="15" thickBot="1" x14ac:dyDescent="0.35">
      <c r="A10" s="15" t="s">
        <v>4</v>
      </c>
      <c r="B10" s="3" t="s">
        <v>8</v>
      </c>
      <c r="D10" s="3" t="s">
        <v>6</v>
      </c>
      <c r="E10" s="4"/>
      <c r="K10" t="s">
        <v>60</v>
      </c>
      <c r="L10" t="s">
        <v>60</v>
      </c>
      <c r="M10" t="s">
        <v>56</v>
      </c>
      <c r="N10" t="s">
        <v>60</v>
      </c>
      <c r="O10" t="s">
        <v>56</v>
      </c>
      <c r="P10" t="s">
        <v>68</v>
      </c>
      <c r="T10" s="3"/>
      <c r="U10" s="23"/>
    </row>
    <row r="11" spans="1:21" ht="15" thickBot="1" x14ac:dyDescent="0.35">
      <c r="A11" s="16" t="s">
        <v>4</v>
      </c>
      <c r="B11" s="5" t="s">
        <v>9</v>
      </c>
      <c r="D11" s="5" t="s">
        <v>6</v>
      </c>
      <c r="E11" s="6"/>
      <c r="K11" t="s">
        <v>60</v>
      </c>
      <c r="L11" t="s">
        <v>60</v>
      </c>
      <c r="M11" t="s">
        <v>56</v>
      </c>
      <c r="N11" t="s">
        <v>60</v>
      </c>
      <c r="O11" t="s">
        <v>57</v>
      </c>
      <c r="P11" t="s">
        <v>69</v>
      </c>
      <c r="T11" s="5"/>
      <c r="U11" s="23"/>
    </row>
    <row r="12" spans="1:21" ht="15" thickBot="1" x14ac:dyDescent="0.35">
      <c r="A12" s="15" t="s">
        <v>4</v>
      </c>
      <c r="B12" s="3" t="s">
        <v>10</v>
      </c>
      <c r="D12" s="3" t="s">
        <v>6</v>
      </c>
      <c r="E12" s="7" t="s">
        <v>11</v>
      </c>
      <c r="K12" t="s">
        <v>56</v>
      </c>
      <c r="L12" t="s">
        <v>56</v>
      </c>
      <c r="M12" t="s">
        <v>57</v>
      </c>
      <c r="N12" t="s">
        <v>60</v>
      </c>
      <c r="O12" t="s">
        <v>57</v>
      </c>
      <c r="P12" t="s">
        <v>70</v>
      </c>
      <c r="T12" s="3"/>
      <c r="U12" s="23"/>
    </row>
    <row r="13" spans="1:21" ht="15" thickBot="1" x14ac:dyDescent="0.35">
      <c r="A13" s="16" t="s">
        <v>4</v>
      </c>
      <c r="B13" s="5" t="s">
        <v>12</v>
      </c>
      <c r="D13" s="5" t="s">
        <v>6</v>
      </c>
      <c r="E13" s="6"/>
      <c r="K13" t="s">
        <v>60</v>
      </c>
      <c r="L13" t="s">
        <v>60</v>
      </c>
      <c r="M13" t="s">
        <v>56</v>
      </c>
      <c r="N13" t="s">
        <v>60</v>
      </c>
      <c r="O13" t="s">
        <v>56</v>
      </c>
      <c r="P13" t="s">
        <v>71</v>
      </c>
      <c r="T13" s="5"/>
      <c r="U13" s="23"/>
    </row>
    <row r="14" spans="1:21" ht="15" thickBot="1" x14ac:dyDescent="0.35">
      <c r="A14" s="15" t="s">
        <v>13</v>
      </c>
      <c r="B14" s="3" t="s">
        <v>5</v>
      </c>
      <c r="D14" s="3" t="s">
        <v>6</v>
      </c>
      <c r="E14" s="4"/>
      <c r="K14" t="s">
        <v>56</v>
      </c>
      <c r="L14" t="s">
        <v>56</v>
      </c>
      <c r="M14" t="s">
        <v>57</v>
      </c>
      <c r="N14" t="s">
        <v>60</v>
      </c>
      <c r="O14" t="s">
        <v>57</v>
      </c>
      <c r="P14" t="s">
        <v>72</v>
      </c>
      <c r="T14" s="3"/>
    </row>
    <row r="15" spans="1:21" ht="15" thickBot="1" x14ac:dyDescent="0.35">
      <c r="A15" s="16" t="s">
        <v>13</v>
      </c>
      <c r="B15" s="5" t="s">
        <v>7</v>
      </c>
      <c r="D15" s="5" t="s">
        <v>6</v>
      </c>
      <c r="E15" s="6"/>
      <c r="K15" t="s">
        <v>56</v>
      </c>
      <c r="L15" t="s">
        <v>56</v>
      </c>
      <c r="M15" t="s">
        <v>57</v>
      </c>
      <c r="N15" t="s">
        <v>60</v>
      </c>
      <c r="O15" t="s">
        <v>57</v>
      </c>
      <c r="P15" t="s">
        <v>73</v>
      </c>
      <c r="T15" s="5"/>
    </row>
    <row r="16" spans="1:21" ht="15" thickBot="1" x14ac:dyDescent="0.35">
      <c r="A16" s="15" t="s">
        <v>13</v>
      </c>
      <c r="B16" s="3" t="s">
        <v>8</v>
      </c>
      <c r="D16" s="3" t="s">
        <v>6</v>
      </c>
      <c r="E16" s="7" t="s">
        <v>11</v>
      </c>
      <c r="K16" t="s">
        <v>56</v>
      </c>
      <c r="L16" t="s">
        <v>56</v>
      </c>
      <c r="M16" t="s">
        <v>57</v>
      </c>
      <c r="N16" t="s">
        <v>60</v>
      </c>
      <c r="O16" t="s">
        <v>60</v>
      </c>
      <c r="P16" t="s">
        <v>74</v>
      </c>
      <c r="T16" s="3"/>
    </row>
    <row r="17" spans="1:20" ht="15" thickBot="1" x14ac:dyDescent="0.35">
      <c r="A17" s="16" t="s">
        <v>13</v>
      </c>
      <c r="B17" s="5" t="s">
        <v>9</v>
      </c>
      <c r="D17" s="5" t="s">
        <v>6</v>
      </c>
      <c r="E17" s="8" t="s">
        <v>11</v>
      </c>
      <c r="K17" t="s">
        <v>60</v>
      </c>
      <c r="L17" t="s">
        <v>60</v>
      </c>
      <c r="M17" t="s">
        <v>57</v>
      </c>
      <c r="N17" t="s">
        <v>60</v>
      </c>
      <c r="O17" t="s">
        <v>60</v>
      </c>
      <c r="P17" t="s">
        <v>75</v>
      </c>
      <c r="T17" s="5"/>
    </row>
    <row r="18" spans="1:20" ht="15" thickBot="1" x14ac:dyDescent="0.35">
      <c r="A18" s="15" t="s">
        <v>13</v>
      </c>
      <c r="B18" s="3" t="s">
        <v>10</v>
      </c>
      <c r="D18" s="3" t="s">
        <v>6</v>
      </c>
      <c r="E18" s="7" t="s">
        <v>11</v>
      </c>
      <c r="K18" t="s">
        <v>56</v>
      </c>
      <c r="L18" t="s">
        <v>56</v>
      </c>
      <c r="M18" t="s">
        <v>57</v>
      </c>
      <c r="N18" t="s">
        <v>60</v>
      </c>
      <c r="O18" t="s">
        <v>60</v>
      </c>
      <c r="P18" t="s">
        <v>76</v>
      </c>
      <c r="T18" s="3"/>
    </row>
    <row r="19" spans="1:20" ht="15" thickBot="1" x14ac:dyDescent="0.35">
      <c r="A19" s="16" t="s">
        <v>13</v>
      </c>
      <c r="B19" s="5" t="s">
        <v>12</v>
      </c>
      <c r="D19" s="5" t="s">
        <v>6</v>
      </c>
      <c r="E19" s="8" t="s">
        <v>11</v>
      </c>
      <c r="K19" t="s">
        <v>56</v>
      </c>
      <c r="L19" t="s">
        <v>56</v>
      </c>
      <c r="M19" t="s">
        <v>57</v>
      </c>
      <c r="N19" t="s">
        <v>60</v>
      </c>
      <c r="O19" t="s">
        <v>60</v>
      </c>
      <c r="P19" t="s">
        <v>77</v>
      </c>
      <c r="T19" s="5"/>
    </row>
    <row r="20" spans="1:20" ht="15" thickBot="1" x14ac:dyDescent="0.35">
      <c r="A20" s="15" t="s">
        <v>14</v>
      </c>
      <c r="B20" s="3" t="s">
        <v>5</v>
      </c>
      <c r="D20" s="3" t="s">
        <v>6</v>
      </c>
      <c r="E20" s="4"/>
      <c r="K20" t="s">
        <v>56</v>
      </c>
      <c r="L20" t="s">
        <v>56</v>
      </c>
      <c r="M20" t="s">
        <v>57</v>
      </c>
      <c r="N20" t="s">
        <v>60</v>
      </c>
      <c r="O20" t="s">
        <v>56</v>
      </c>
      <c r="P20" t="s">
        <v>78</v>
      </c>
      <c r="Q20" t="s">
        <v>88</v>
      </c>
      <c r="T20" s="3"/>
    </row>
    <row r="21" spans="1:20" ht="15" thickBot="1" x14ac:dyDescent="0.35">
      <c r="A21" s="16" t="s">
        <v>14</v>
      </c>
      <c r="B21" s="5" t="s">
        <v>7</v>
      </c>
      <c r="D21" s="5" t="s">
        <v>6</v>
      </c>
      <c r="E21" s="8" t="s">
        <v>11</v>
      </c>
      <c r="K21" t="s">
        <v>56</v>
      </c>
      <c r="L21" t="s">
        <v>60</v>
      </c>
      <c r="M21" t="s">
        <v>56</v>
      </c>
      <c r="N21" t="s">
        <v>56</v>
      </c>
      <c r="O21" t="s">
        <v>57</v>
      </c>
      <c r="P21" t="s">
        <v>79</v>
      </c>
      <c r="Q21" t="s">
        <v>88</v>
      </c>
      <c r="T21" s="5"/>
    </row>
    <row r="22" spans="1:20" ht="15" thickBot="1" x14ac:dyDescent="0.35">
      <c r="A22" s="15" t="s">
        <v>14</v>
      </c>
      <c r="B22" s="3" t="s">
        <v>8</v>
      </c>
      <c r="D22" s="3" t="s">
        <v>6</v>
      </c>
      <c r="E22" s="7" t="s">
        <v>11</v>
      </c>
      <c r="K22" t="s">
        <v>60</v>
      </c>
      <c r="L22" t="s">
        <v>56</v>
      </c>
      <c r="M22" t="s">
        <v>57</v>
      </c>
      <c r="N22" t="s">
        <v>56</v>
      </c>
      <c r="O22" t="s">
        <v>57</v>
      </c>
      <c r="P22" t="s">
        <v>79</v>
      </c>
      <c r="Q22" t="s">
        <v>88</v>
      </c>
      <c r="T22" s="3"/>
    </row>
    <row r="23" spans="1:20" ht="15" thickBot="1" x14ac:dyDescent="0.35">
      <c r="A23" s="16" t="s">
        <v>14</v>
      </c>
      <c r="B23" s="5" t="s">
        <v>9</v>
      </c>
      <c r="D23" s="5" t="s">
        <v>6</v>
      </c>
      <c r="E23" s="8" t="s">
        <v>11</v>
      </c>
      <c r="K23" t="s">
        <v>60</v>
      </c>
      <c r="L23" t="s">
        <v>56</v>
      </c>
      <c r="M23" t="s">
        <v>56</v>
      </c>
      <c r="N23" t="s">
        <v>56</v>
      </c>
      <c r="O23" t="s">
        <v>57</v>
      </c>
      <c r="P23" t="s">
        <v>80</v>
      </c>
      <c r="Q23" t="s">
        <v>88</v>
      </c>
      <c r="T23" s="5"/>
    </row>
    <row r="24" spans="1:20" ht="15" thickBot="1" x14ac:dyDescent="0.35">
      <c r="A24" s="15" t="s">
        <v>14</v>
      </c>
      <c r="B24" s="3" t="s">
        <v>10</v>
      </c>
      <c r="D24" s="3" t="s">
        <v>6</v>
      </c>
      <c r="E24" s="7" t="s">
        <v>11</v>
      </c>
      <c r="K24" t="s">
        <v>60</v>
      </c>
      <c r="L24" t="s">
        <v>60</v>
      </c>
      <c r="M24" t="s">
        <v>57</v>
      </c>
      <c r="N24" t="s">
        <v>56</v>
      </c>
      <c r="O24" t="s">
        <v>57</v>
      </c>
      <c r="P24" t="s">
        <v>81</v>
      </c>
      <c r="Q24" t="s">
        <v>88</v>
      </c>
      <c r="T24" s="3"/>
    </row>
    <row r="25" spans="1:20" ht="15" thickBot="1" x14ac:dyDescent="0.35">
      <c r="A25" s="16" t="s">
        <v>14</v>
      </c>
      <c r="B25" s="5" t="s">
        <v>12</v>
      </c>
      <c r="D25" s="5" t="s">
        <v>6</v>
      </c>
      <c r="E25" s="8" t="s">
        <v>11</v>
      </c>
      <c r="K25" t="s">
        <v>56</v>
      </c>
      <c r="L25" t="s">
        <v>57</v>
      </c>
      <c r="M25" t="s">
        <v>57</v>
      </c>
      <c r="N25" t="s">
        <v>56</v>
      </c>
      <c r="O25" t="s">
        <v>57</v>
      </c>
      <c r="P25" t="s">
        <v>82</v>
      </c>
      <c r="Q25" t="s">
        <v>88</v>
      </c>
      <c r="T25" s="5"/>
    </row>
    <row r="26" spans="1:20" ht="15" thickBot="1" x14ac:dyDescent="0.35">
      <c r="A26" s="15" t="s">
        <v>15</v>
      </c>
      <c r="B26" s="3" t="s">
        <v>5</v>
      </c>
      <c r="D26" s="3" t="s">
        <v>6</v>
      </c>
      <c r="E26" s="4"/>
      <c r="K26" t="s">
        <v>60</v>
      </c>
      <c r="L26" t="s">
        <v>56</v>
      </c>
      <c r="M26" t="s">
        <v>56</v>
      </c>
      <c r="N26" t="s">
        <v>56</v>
      </c>
      <c r="O26" t="s">
        <v>56</v>
      </c>
      <c r="P26" t="s">
        <v>83</v>
      </c>
      <c r="Q26" t="s">
        <v>88</v>
      </c>
      <c r="T26" s="3"/>
    </row>
    <row r="27" spans="1:20" ht="15" thickBot="1" x14ac:dyDescent="0.35">
      <c r="A27" s="16" t="s">
        <v>15</v>
      </c>
      <c r="B27" s="5" t="s">
        <v>7</v>
      </c>
      <c r="D27" s="5" t="s">
        <v>6</v>
      </c>
      <c r="E27" s="6"/>
      <c r="K27" t="s">
        <v>60</v>
      </c>
      <c r="L27" t="s">
        <v>56</v>
      </c>
      <c r="M27" t="s">
        <v>57</v>
      </c>
      <c r="N27" t="s">
        <v>60</v>
      </c>
      <c r="O27" t="s">
        <v>57</v>
      </c>
      <c r="P27" t="s">
        <v>84</v>
      </c>
      <c r="Q27" t="s">
        <v>88</v>
      </c>
      <c r="T27" s="5"/>
    </row>
    <row r="28" spans="1:20" ht="15" thickBot="1" x14ac:dyDescent="0.35">
      <c r="A28" s="15" t="s">
        <v>15</v>
      </c>
      <c r="B28" s="3" t="s">
        <v>8</v>
      </c>
      <c r="D28" s="3" t="s">
        <v>6</v>
      </c>
      <c r="E28" s="7" t="s">
        <v>11</v>
      </c>
      <c r="K28" t="s">
        <v>57</v>
      </c>
      <c r="L28" t="s">
        <v>56</v>
      </c>
      <c r="M28" t="s">
        <v>57</v>
      </c>
      <c r="N28" t="s">
        <v>56</v>
      </c>
      <c r="O28" t="s">
        <v>57</v>
      </c>
      <c r="P28" t="s">
        <v>85</v>
      </c>
      <c r="Q28" t="s">
        <v>88</v>
      </c>
      <c r="T28" s="3"/>
    </row>
    <row r="29" spans="1:20" ht="15" thickBot="1" x14ac:dyDescent="0.35">
      <c r="A29" s="16" t="s">
        <v>15</v>
      </c>
      <c r="B29" s="5" t="s">
        <v>9</v>
      </c>
      <c r="D29" s="5" t="s">
        <v>6</v>
      </c>
      <c r="E29" s="8" t="s">
        <v>11</v>
      </c>
      <c r="K29" t="s">
        <v>56</v>
      </c>
      <c r="L29" t="s">
        <v>57</v>
      </c>
      <c r="M29" t="s">
        <v>56</v>
      </c>
      <c r="N29" t="s">
        <v>60</v>
      </c>
      <c r="O29" t="s">
        <v>56</v>
      </c>
      <c r="P29" t="s">
        <v>86</v>
      </c>
      <c r="Q29" t="s">
        <v>88</v>
      </c>
      <c r="T29" s="5"/>
    </row>
    <row r="30" spans="1:20" ht="15" thickBot="1" x14ac:dyDescent="0.35">
      <c r="A30" s="15" t="s">
        <v>15</v>
      </c>
      <c r="B30" s="3" t="s">
        <v>10</v>
      </c>
      <c r="D30" s="3" t="s">
        <v>6</v>
      </c>
      <c r="E30" s="7" t="s">
        <v>11</v>
      </c>
      <c r="K30" t="s">
        <v>56</v>
      </c>
      <c r="L30" t="s">
        <v>57</v>
      </c>
      <c r="M30" t="s">
        <v>57</v>
      </c>
      <c r="N30" t="s">
        <v>60</v>
      </c>
      <c r="O30" t="s">
        <v>60</v>
      </c>
      <c r="P30" t="s">
        <v>87</v>
      </c>
      <c r="Q30" t="s">
        <v>88</v>
      </c>
      <c r="T30" s="3"/>
    </row>
    <row r="31" spans="1:20" ht="15" thickBot="1" x14ac:dyDescent="0.35">
      <c r="A31" s="16" t="s">
        <v>15</v>
      </c>
      <c r="B31" s="5" t="s">
        <v>12</v>
      </c>
      <c r="D31" s="5" t="s">
        <v>6</v>
      </c>
      <c r="E31" s="6"/>
      <c r="K31" t="s">
        <v>56</v>
      </c>
      <c r="L31" t="s">
        <v>57</v>
      </c>
      <c r="M31" t="s">
        <v>57</v>
      </c>
      <c r="N31" t="s">
        <v>56</v>
      </c>
      <c r="O31" t="s">
        <v>57</v>
      </c>
      <c r="P31" t="s">
        <v>89</v>
      </c>
      <c r="Q31" t="s">
        <v>88</v>
      </c>
      <c r="T31" s="5"/>
    </row>
    <row r="32" spans="1:20" ht="15" hidden="1" thickBot="1" x14ac:dyDescent="0.35">
      <c r="A32" s="15" t="s">
        <v>30</v>
      </c>
      <c r="B32" s="3" t="s">
        <v>5</v>
      </c>
      <c r="D32" s="3" t="s">
        <v>25</v>
      </c>
      <c r="E32" s="4"/>
      <c r="F32" s="12" t="s">
        <v>38</v>
      </c>
      <c r="K32" t="s">
        <v>57</v>
      </c>
      <c r="L32" t="s">
        <v>57</v>
      </c>
      <c r="M32" t="s">
        <v>57</v>
      </c>
      <c r="N32" t="s">
        <v>56</v>
      </c>
      <c r="O32" t="s">
        <v>56</v>
      </c>
      <c r="P32" t="s">
        <v>90</v>
      </c>
      <c r="T32" s="3"/>
    </row>
    <row r="33" spans="1:20" ht="15" hidden="1" thickBot="1" x14ac:dyDescent="0.35">
      <c r="A33" s="16" t="s">
        <v>30</v>
      </c>
      <c r="B33" s="5" t="s">
        <v>7</v>
      </c>
      <c r="D33" s="5" t="s">
        <v>25</v>
      </c>
      <c r="E33" s="8" t="s">
        <v>31</v>
      </c>
      <c r="F33" s="13" t="s">
        <v>39</v>
      </c>
      <c r="T33" s="5"/>
    </row>
    <row r="34" spans="1:20" ht="15" hidden="1" thickBot="1" x14ac:dyDescent="0.35">
      <c r="A34" s="15" t="s">
        <v>30</v>
      </c>
      <c r="B34" s="3" t="s">
        <v>8</v>
      </c>
      <c r="D34" s="3" t="s">
        <v>25</v>
      </c>
      <c r="E34" s="7" t="s">
        <v>31</v>
      </c>
      <c r="F34" s="12" t="s">
        <v>40</v>
      </c>
      <c r="G34" s="12" t="s">
        <v>41</v>
      </c>
      <c r="T34" s="3"/>
    </row>
    <row r="35" spans="1:20" ht="15" hidden="1" thickBot="1" x14ac:dyDescent="0.35">
      <c r="A35" s="16" t="s">
        <v>30</v>
      </c>
      <c r="B35" s="5" t="s">
        <v>9</v>
      </c>
      <c r="D35" s="5" t="s">
        <v>25</v>
      </c>
      <c r="E35" s="8" t="s">
        <v>31</v>
      </c>
      <c r="F35" s="12" t="s">
        <v>40</v>
      </c>
      <c r="G35" s="12" t="s">
        <v>41</v>
      </c>
      <c r="T35" s="5"/>
    </row>
    <row r="36" spans="1:20" ht="15" hidden="1" thickBot="1" x14ac:dyDescent="0.35">
      <c r="A36" s="15" t="s">
        <v>30</v>
      </c>
      <c r="B36" s="3" t="s">
        <v>10</v>
      </c>
      <c r="D36" s="3" t="s">
        <v>25</v>
      </c>
      <c r="E36" s="7" t="s">
        <v>31</v>
      </c>
      <c r="F36" s="12" t="s">
        <v>39</v>
      </c>
      <c r="G36" t="s">
        <v>47</v>
      </c>
      <c r="T36" s="3"/>
    </row>
    <row r="37" spans="1:20" ht="15" hidden="1" thickBot="1" x14ac:dyDescent="0.35">
      <c r="A37" s="16" t="s">
        <v>30</v>
      </c>
      <c r="B37" s="5" t="s">
        <v>12</v>
      </c>
      <c r="D37" s="5" t="s">
        <v>25</v>
      </c>
      <c r="E37" s="8" t="s">
        <v>31</v>
      </c>
      <c r="F37" s="12" t="s">
        <v>38</v>
      </c>
      <c r="T37" s="5"/>
    </row>
    <row r="38" spans="1:20" ht="15" thickBot="1" x14ac:dyDescent="0.35">
      <c r="A38" s="15" t="s">
        <v>16</v>
      </c>
      <c r="B38" s="3" t="s">
        <v>5</v>
      </c>
      <c r="D38" s="3" t="s">
        <v>6</v>
      </c>
      <c r="E38" s="4"/>
      <c r="K38" t="s">
        <v>56</v>
      </c>
      <c r="L38" t="s">
        <v>56</v>
      </c>
      <c r="M38" t="s">
        <v>56</v>
      </c>
      <c r="N38" t="s">
        <v>56</v>
      </c>
      <c r="O38" t="s">
        <v>57</v>
      </c>
      <c r="P38" t="s">
        <v>91</v>
      </c>
      <c r="T38" s="3"/>
    </row>
    <row r="39" spans="1:20" ht="15" thickBot="1" x14ac:dyDescent="0.35">
      <c r="A39" s="16" t="s">
        <v>16</v>
      </c>
      <c r="B39" s="5" t="s">
        <v>7</v>
      </c>
      <c r="D39" s="5" t="s">
        <v>6</v>
      </c>
      <c r="E39" s="6"/>
      <c r="K39" t="s">
        <v>56</v>
      </c>
      <c r="L39" t="s">
        <v>56</v>
      </c>
      <c r="M39" t="s">
        <v>57</v>
      </c>
      <c r="N39" t="s">
        <v>60</v>
      </c>
      <c r="O39" t="s">
        <v>57</v>
      </c>
      <c r="P39" t="s">
        <v>92</v>
      </c>
      <c r="T39" s="5"/>
    </row>
    <row r="40" spans="1:20" ht="15" thickBot="1" x14ac:dyDescent="0.35">
      <c r="A40" s="15" t="s">
        <v>16</v>
      </c>
      <c r="B40" s="3" t="s">
        <v>8</v>
      </c>
      <c r="D40" s="3" t="s">
        <v>6</v>
      </c>
      <c r="E40" s="7" t="s">
        <v>17</v>
      </c>
      <c r="T40" s="3"/>
    </row>
    <row r="41" spans="1:20" ht="15" hidden="1" thickBot="1" x14ac:dyDescent="0.35">
      <c r="A41" s="16" t="s">
        <v>16</v>
      </c>
      <c r="B41" s="5" t="s">
        <v>9</v>
      </c>
      <c r="D41" s="5" t="s">
        <v>25</v>
      </c>
      <c r="E41" s="6"/>
      <c r="F41" s="13" t="s">
        <v>38</v>
      </c>
      <c r="G41" s="13" t="s">
        <v>42</v>
      </c>
      <c r="H41" s="13" t="s">
        <v>41</v>
      </c>
      <c r="T41" s="5"/>
    </row>
    <row r="42" spans="1:20" ht="15" hidden="1" thickBot="1" x14ac:dyDescent="0.35">
      <c r="A42" s="17" t="s">
        <v>16</v>
      </c>
      <c r="B42" s="10" t="s">
        <v>10</v>
      </c>
      <c r="D42" s="10" t="s">
        <v>25</v>
      </c>
      <c r="E42" s="8" t="s">
        <v>27</v>
      </c>
      <c r="F42" s="13" t="s">
        <v>40</v>
      </c>
      <c r="G42" s="13"/>
      <c r="H42" s="13"/>
      <c r="T42" s="10"/>
    </row>
    <row r="43" spans="1:20" ht="15" hidden="1" thickBot="1" x14ac:dyDescent="0.35">
      <c r="A43" s="18" t="s">
        <v>16</v>
      </c>
      <c r="B43" s="9" t="s">
        <v>12</v>
      </c>
      <c r="D43" s="9" t="s">
        <v>25</v>
      </c>
      <c r="E43" s="7" t="s">
        <v>27</v>
      </c>
      <c r="F43" s="12" t="s">
        <v>39</v>
      </c>
      <c r="G43" s="12" t="s">
        <v>41</v>
      </c>
      <c r="T43" s="9"/>
    </row>
    <row r="44" spans="1:20" ht="15" hidden="1" thickBot="1" x14ac:dyDescent="0.35">
      <c r="A44" s="15" t="s">
        <v>24</v>
      </c>
      <c r="B44" s="3" t="s">
        <v>5</v>
      </c>
      <c r="D44" s="3" t="s">
        <v>25</v>
      </c>
      <c r="E44" s="4"/>
      <c r="F44" s="12" t="s">
        <v>39</v>
      </c>
      <c r="G44" s="12" t="s">
        <v>41</v>
      </c>
      <c r="T44" s="3"/>
    </row>
    <row r="45" spans="1:20" ht="15" hidden="1" thickBot="1" x14ac:dyDescent="0.35">
      <c r="A45" s="16" t="s">
        <v>24</v>
      </c>
      <c r="B45" s="5" t="s">
        <v>7</v>
      </c>
      <c r="D45" s="5" t="s">
        <v>25</v>
      </c>
      <c r="E45" s="6"/>
      <c r="F45" s="12" t="s">
        <v>39</v>
      </c>
      <c r="G45" s="12" t="s">
        <v>41</v>
      </c>
      <c r="T45" s="5"/>
    </row>
    <row r="46" spans="1:20" ht="15" hidden="1" thickBot="1" x14ac:dyDescent="0.35">
      <c r="A46" s="15" t="s">
        <v>24</v>
      </c>
      <c r="B46" s="3" t="s">
        <v>8</v>
      </c>
      <c r="D46" s="3" t="s">
        <v>25</v>
      </c>
      <c r="E46" s="7" t="s">
        <v>20</v>
      </c>
      <c r="F46" s="12" t="s">
        <v>38</v>
      </c>
      <c r="T46" s="3"/>
    </row>
    <row r="47" spans="1:20" ht="15" hidden="1" thickBot="1" x14ac:dyDescent="0.35">
      <c r="A47" s="18" t="s">
        <v>24</v>
      </c>
      <c r="B47" s="9" t="s">
        <v>9</v>
      </c>
      <c r="D47" s="9" t="s">
        <v>25</v>
      </c>
      <c r="E47" s="4"/>
      <c r="F47" s="12" t="s">
        <v>39</v>
      </c>
      <c r="G47" s="12" t="s">
        <v>41</v>
      </c>
      <c r="T47" s="9"/>
    </row>
    <row r="48" spans="1:20" ht="15" hidden="1" thickBot="1" x14ac:dyDescent="0.35">
      <c r="A48" s="17" t="s">
        <v>24</v>
      </c>
      <c r="B48" s="10" t="s">
        <v>10</v>
      </c>
      <c r="D48" s="10" t="s">
        <v>25</v>
      </c>
      <c r="E48" s="6"/>
      <c r="F48" s="12" t="s">
        <v>39</v>
      </c>
      <c r="G48" s="12" t="s">
        <v>41</v>
      </c>
      <c r="T48" s="10"/>
    </row>
    <row r="49" spans="1:20" ht="15" hidden="1" thickBot="1" x14ac:dyDescent="0.35">
      <c r="A49" s="16" t="s">
        <v>24</v>
      </c>
      <c r="B49" s="5" t="s">
        <v>12</v>
      </c>
      <c r="D49" s="5" t="s">
        <v>25</v>
      </c>
      <c r="E49" s="8" t="s">
        <v>20</v>
      </c>
      <c r="F49" s="12" t="s">
        <v>39</v>
      </c>
      <c r="G49" s="12" t="s">
        <v>41</v>
      </c>
      <c r="T49" s="5"/>
    </row>
    <row r="50" spans="1:20" ht="15" hidden="1" thickBot="1" x14ac:dyDescent="0.35">
      <c r="A50" s="15" t="s">
        <v>24</v>
      </c>
      <c r="B50" s="3" t="s">
        <v>32</v>
      </c>
      <c r="D50" s="3" t="s">
        <v>25</v>
      </c>
      <c r="E50" s="4"/>
      <c r="F50" s="12" t="s">
        <v>38</v>
      </c>
      <c r="T50" s="3"/>
    </row>
    <row r="51" spans="1:20" ht="15" hidden="1" thickBot="1" x14ac:dyDescent="0.35">
      <c r="A51" s="16" t="s">
        <v>24</v>
      </c>
      <c r="B51" s="5" t="s">
        <v>33</v>
      </c>
      <c r="D51" s="5" t="s">
        <v>25</v>
      </c>
      <c r="E51" s="6"/>
      <c r="F51" s="12" t="s">
        <v>38</v>
      </c>
      <c r="T51" s="5"/>
    </row>
    <row r="52" spans="1:20" ht="15" hidden="1" thickBot="1" x14ac:dyDescent="0.35">
      <c r="A52" s="15" t="s">
        <v>24</v>
      </c>
      <c r="B52" s="3" t="s">
        <v>26</v>
      </c>
      <c r="D52" s="3" t="s">
        <v>25</v>
      </c>
      <c r="E52" s="7" t="s">
        <v>20</v>
      </c>
      <c r="F52" s="12" t="s">
        <v>40</v>
      </c>
      <c r="G52" s="12" t="s">
        <v>43</v>
      </c>
      <c r="T52" s="3"/>
    </row>
    <row r="53" spans="1:20" ht="15" hidden="1" thickBot="1" x14ac:dyDescent="0.35">
      <c r="A53" s="18" t="s">
        <v>24</v>
      </c>
      <c r="B53" s="9" t="s">
        <v>34</v>
      </c>
      <c r="D53" s="9" t="s">
        <v>25</v>
      </c>
      <c r="E53" s="4"/>
      <c r="F53" s="12" t="s">
        <v>38</v>
      </c>
      <c r="T53" s="9"/>
    </row>
    <row r="54" spans="1:20" ht="15" hidden="1" thickBot="1" x14ac:dyDescent="0.35">
      <c r="A54" s="17" t="s">
        <v>24</v>
      </c>
      <c r="B54" s="10" t="s">
        <v>35</v>
      </c>
      <c r="D54" s="10" t="s">
        <v>25</v>
      </c>
      <c r="E54" s="6"/>
      <c r="F54" s="12" t="s">
        <v>39</v>
      </c>
      <c r="G54" s="12" t="s">
        <v>43</v>
      </c>
      <c r="T54" s="10"/>
    </row>
    <row r="55" spans="1:20" ht="15" hidden="1" thickBot="1" x14ac:dyDescent="0.35">
      <c r="A55" s="16" t="s">
        <v>24</v>
      </c>
      <c r="B55" s="5" t="s">
        <v>28</v>
      </c>
      <c r="D55" s="5" t="s">
        <v>25</v>
      </c>
      <c r="E55" s="8" t="s">
        <v>29</v>
      </c>
      <c r="F55" s="12" t="s">
        <v>39</v>
      </c>
      <c r="G55" s="12" t="s">
        <v>44</v>
      </c>
      <c r="T55" s="5"/>
    </row>
    <row r="56" spans="1:20" ht="15" thickBot="1" x14ac:dyDescent="0.35">
      <c r="A56" s="15" t="s">
        <v>18</v>
      </c>
      <c r="B56" s="3" t="s">
        <v>5</v>
      </c>
      <c r="D56" s="3" t="s">
        <v>6</v>
      </c>
      <c r="E56" s="4"/>
      <c r="K56" t="s">
        <v>56</v>
      </c>
      <c r="L56" t="s">
        <v>56</v>
      </c>
      <c r="M56" t="s">
        <v>57</v>
      </c>
      <c r="N56" t="s">
        <v>60</v>
      </c>
      <c r="O56" t="s">
        <v>60</v>
      </c>
      <c r="P56" t="s">
        <v>93</v>
      </c>
      <c r="T56" s="3"/>
    </row>
    <row r="57" spans="1:20" ht="15" thickBot="1" x14ac:dyDescent="0.35">
      <c r="A57" s="16" t="s">
        <v>18</v>
      </c>
      <c r="B57" s="5" t="s">
        <v>7</v>
      </c>
      <c r="D57" s="5" t="s">
        <v>6</v>
      </c>
      <c r="E57" s="6"/>
      <c r="K57" t="s">
        <v>56</v>
      </c>
      <c r="L57" t="s">
        <v>56</v>
      </c>
      <c r="M57" t="s">
        <v>57</v>
      </c>
      <c r="N57" t="s">
        <v>56</v>
      </c>
      <c r="O57" t="s">
        <v>57</v>
      </c>
      <c r="P57" t="s">
        <v>94</v>
      </c>
      <c r="T57" s="5"/>
    </row>
    <row r="58" spans="1:20" ht="15" thickBot="1" x14ac:dyDescent="0.35">
      <c r="A58" s="15" t="s">
        <v>19</v>
      </c>
      <c r="B58" s="3" t="s">
        <v>5</v>
      </c>
      <c r="D58" s="3" t="s">
        <v>6</v>
      </c>
      <c r="E58" s="4"/>
      <c r="K58" t="s">
        <v>57</v>
      </c>
      <c r="L58" t="s">
        <v>57</v>
      </c>
      <c r="M58" t="s">
        <v>57</v>
      </c>
      <c r="N58" t="s">
        <v>60</v>
      </c>
      <c r="O58" t="s">
        <v>60</v>
      </c>
      <c r="P58" t="s">
        <v>95</v>
      </c>
      <c r="T58" s="3"/>
    </row>
    <row r="59" spans="1:20" ht="15" thickBot="1" x14ac:dyDescent="0.35">
      <c r="A59" s="16" t="s">
        <v>19</v>
      </c>
      <c r="B59" s="5" t="s">
        <v>7</v>
      </c>
      <c r="D59" s="5" t="s">
        <v>6</v>
      </c>
      <c r="E59" s="6"/>
      <c r="K59" t="s">
        <v>56</v>
      </c>
      <c r="L59" t="s">
        <v>56</v>
      </c>
      <c r="M59" t="s">
        <v>60</v>
      </c>
      <c r="N59" t="s">
        <v>60</v>
      </c>
      <c r="O59" t="s">
        <v>60</v>
      </c>
      <c r="P59" t="s">
        <v>96</v>
      </c>
      <c r="T59" s="5"/>
    </row>
    <row r="60" spans="1:20" ht="15" thickBot="1" x14ac:dyDescent="0.35">
      <c r="A60" s="15" t="s">
        <v>19</v>
      </c>
      <c r="B60" s="3" t="s">
        <v>8</v>
      </c>
      <c r="D60" s="3" t="s">
        <v>6</v>
      </c>
      <c r="E60" s="4"/>
      <c r="K60" t="s">
        <v>57</v>
      </c>
      <c r="L60" t="s">
        <v>57</v>
      </c>
      <c r="M60" t="s">
        <v>57</v>
      </c>
      <c r="N60" t="s">
        <v>60</v>
      </c>
      <c r="O60" t="s">
        <v>60</v>
      </c>
      <c r="P60" t="s">
        <v>97</v>
      </c>
      <c r="T60" s="3"/>
    </row>
    <row r="61" spans="1:20" ht="15" thickBot="1" x14ac:dyDescent="0.35">
      <c r="A61" s="16" t="s">
        <v>19</v>
      </c>
      <c r="B61" s="5" t="s">
        <v>9</v>
      </c>
      <c r="D61" s="5" t="s">
        <v>6</v>
      </c>
      <c r="E61" s="6"/>
      <c r="K61" t="s">
        <v>56</v>
      </c>
      <c r="L61" t="s">
        <v>56</v>
      </c>
      <c r="M61" t="s">
        <v>57</v>
      </c>
      <c r="N61" t="s">
        <v>60</v>
      </c>
      <c r="O61" t="s">
        <v>60</v>
      </c>
      <c r="P61" t="s">
        <v>98</v>
      </c>
      <c r="T61" s="5"/>
    </row>
    <row r="62" spans="1:20" ht="15" thickBot="1" x14ac:dyDescent="0.35">
      <c r="A62" s="15" t="s">
        <v>19</v>
      </c>
      <c r="B62" s="3" t="s">
        <v>10</v>
      </c>
      <c r="D62" s="3" t="s">
        <v>6</v>
      </c>
      <c r="E62" s="4"/>
      <c r="K62" t="s">
        <v>56</v>
      </c>
      <c r="L62" t="s">
        <v>56</v>
      </c>
      <c r="M62" t="s">
        <v>57</v>
      </c>
      <c r="N62" t="s">
        <v>60</v>
      </c>
      <c r="O62" t="s">
        <v>60</v>
      </c>
      <c r="P62" s="19" t="s">
        <v>99</v>
      </c>
      <c r="T62" s="3"/>
    </row>
    <row r="63" spans="1:20" ht="15" thickBot="1" x14ac:dyDescent="0.35">
      <c r="A63" s="16" t="s">
        <v>19</v>
      </c>
      <c r="B63" s="5" t="s">
        <v>12</v>
      </c>
      <c r="D63" s="5" t="s">
        <v>6</v>
      </c>
      <c r="E63" s="8" t="s">
        <v>20</v>
      </c>
      <c r="K63" t="s">
        <v>56</v>
      </c>
      <c r="L63" t="s">
        <v>56</v>
      </c>
      <c r="M63" t="s">
        <v>57</v>
      </c>
      <c r="N63" t="s">
        <v>60</v>
      </c>
      <c r="O63" t="s">
        <v>60</v>
      </c>
      <c r="P63" t="s">
        <v>100</v>
      </c>
      <c r="T63" s="5"/>
    </row>
    <row r="64" spans="1:20" ht="15" hidden="1" thickBot="1" x14ac:dyDescent="0.35">
      <c r="A64" s="15" t="s">
        <v>36</v>
      </c>
      <c r="B64" s="3" t="s">
        <v>5</v>
      </c>
      <c r="D64" s="3" t="s">
        <v>25</v>
      </c>
      <c r="E64" s="4"/>
      <c r="F64" s="12" t="s">
        <v>40</v>
      </c>
      <c r="T64" s="3"/>
    </row>
    <row r="65" spans="1:20" ht="15" hidden="1" thickBot="1" x14ac:dyDescent="0.35">
      <c r="A65" s="16" t="s">
        <v>36</v>
      </c>
      <c r="B65" s="5" t="s">
        <v>7</v>
      </c>
      <c r="D65" s="5" t="s">
        <v>25</v>
      </c>
      <c r="E65" s="6"/>
      <c r="F65" s="12" t="s">
        <v>39</v>
      </c>
      <c r="T65" s="5"/>
    </row>
    <row r="66" spans="1:20" ht="15" hidden="1" thickBot="1" x14ac:dyDescent="0.35">
      <c r="A66" s="15" t="s">
        <v>36</v>
      </c>
      <c r="B66" s="3" t="s">
        <v>8</v>
      </c>
      <c r="D66" s="3" t="s">
        <v>25</v>
      </c>
      <c r="E66" s="4"/>
      <c r="F66" s="12" t="s">
        <v>40</v>
      </c>
      <c r="T66" s="3"/>
    </row>
    <row r="67" spans="1:20" ht="15" hidden="1" thickBot="1" x14ac:dyDescent="0.35">
      <c r="A67" s="16" t="s">
        <v>36</v>
      </c>
      <c r="B67" s="5" t="s">
        <v>9</v>
      </c>
      <c r="D67" s="5" t="s">
        <v>25</v>
      </c>
      <c r="E67" s="6"/>
      <c r="F67" s="12" t="s">
        <v>40</v>
      </c>
      <c r="J67" t="s">
        <v>49</v>
      </c>
      <c r="T67" s="5"/>
    </row>
    <row r="68" spans="1:20" ht="15" thickBot="1" x14ac:dyDescent="0.35">
      <c r="A68" s="15" t="s">
        <v>23</v>
      </c>
      <c r="B68" s="3" t="s">
        <v>5</v>
      </c>
      <c r="D68" s="3" t="s">
        <v>6</v>
      </c>
      <c r="E68" s="4"/>
      <c r="K68" t="s">
        <v>56</v>
      </c>
      <c r="L68" t="s">
        <v>56</v>
      </c>
      <c r="M68" t="s">
        <v>57</v>
      </c>
      <c r="N68" t="s">
        <v>60</v>
      </c>
      <c r="O68" t="s">
        <v>60</v>
      </c>
      <c r="P68" t="s">
        <v>101</v>
      </c>
      <c r="T68" s="3"/>
    </row>
    <row r="69" spans="1:20" ht="15" thickBot="1" x14ac:dyDescent="0.35">
      <c r="A69" s="16" t="s">
        <v>23</v>
      </c>
      <c r="B69" s="5" t="s">
        <v>7</v>
      </c>
      <c r="D69" s="5" t="s">
        <v>6</v>
      </c>
      <c r="E69" s="6"/>
      <c r="K69" t="s">
        <v>56</v>
      </c>
      <c r="L69" t="s">
        <v>57</v>
      </c>
      <c r="M69" t="s">
        <v>57</v>
      </c>
      <c r="N69" t="s">
        <v>60</v>
      </c>
      <c r="O69" t="s">
        <v>60</v>
      </c>
      <c r="P69" t="s">
        <v>102</v>
      </c>
      <c r="T69" s="5"/>
    </row>
    <row r="70" spans="1:20" ht="15" thickBot="1" x14ac:dyDescent="0.35">
      <c r="A70" s="15" t="s">
        <v>23</v>
      </c>
      <c r="B70" s="3" t="s">
        <v>8</v>
      </c>
      <c r="D70" s="3" t="s">
        <v>6</v>
      </c>
      <c r="E70" s="4"/>
      <c r="K70" t="s">
        <v>56</v>
      </c>
      <c r="L70" t="s">
        <v>56</v>
      </c>
      <c r="M70" t="s">
        <v>57</v>
      </c>
      <c r="N70" t="s">
        <v>60</v>
      </c>
      <c r="O70" t="s">
        <v>60</v>
      </c>
      <c r="P70" t="s">
        <v>103</v>
      </c>
      <c r="T70" s="3"/>
    </row>
    <row r="71" spans="1:20" ht="15" thickBot="1" x14ac:dyDescent="0.35">
      <c r="A71" s="16" t="s">
        <v>23</v>
      </c>
      <c r="B71" s="5" t="s">
        <v>9</v>
      </c>
      <c r="D71" s="5" t="s">
        <v>6</v>
      </c>
      <c r="E71" s="6"/>
      <c r="K71" t="s">
        <v>56</v>
      </c>
      <c r="L71" t="s">
        <v>57</v>
      </c>
      <c r="M71" t="s">
        <v>57</v>
      </c>
      <c r="N71" t="s">
        <v>56</v>
      </c>
      <c r="O71" t="s">
        <v>57</v>
      </c>
      <c r="P71" t="s">
        <v>104</v>
      </c>
      <c r="T71" s="5"/>
    </row>
    <row r="72" spans="1:20" ht="15" thickBot="1" x14ac:dyDescent="0.35">
      <c r="A72" s="15" t="s">
        <v>23</v>
      </c>
      <c r="B72" s="3" t="s">
        <v>10</v>
      </c>
      <c r="D72" s="3" t="s">
        <v>6</v>
      </c>
      <c r="E72" s="7" t="s">
        <v>22</v>
      </c>
      <c r="K72" t="s">
        <v>60</v>
      </c>
      <c r="L72" t="s">
        <v>56</v>
      </c>
      <c r="M72" t="s">
        <v>56</v>
      </c>
      <c r="N72" t="s">
        <v>60</v>
      </c>
      <c r="O72" t="s">
        <v>60</v>
      </c>
      <c r="P72" t="s">
        <v>106</v>
      </c>
      <c r="T72" s="3"/>
    </row>
    <row r="73" spans="1:20" ht="15" thickBot="1" x14ac:dyDescent="0.35">
      <c r="A73" s="20" t="s">
        <v>23</v>
      </c>
      <c r="B73" s="21" t="s">
        <v>12</v>
      </c>
      <c r="D73" s="21" t="s">
        <v>6</v>
      </c>
      <c r="E73" s="22" t="s">
        <v>22</v>
      </c>
      <c r="K73" t="s">
        <v>56</v>
      </c>
      <c r="L73" t="s">
        <v>56</v>
      </c>
      <c r="M73" t="s">
        <v>57</v>
      </c>
      <c r="N73" t="s">
        <v>60</v>
      </c>
      <c r="O73" t="s">
        <v>60</v>
      </c>
      <c r="P73" t="s">
        <v>105</v>
      </c>
      <c r="T73" s="21"/>
    </row>
    <row r="75" spans="1:20" x14ac:dyDescent="0.3">
      <c r="K75">
        <f>COUNTIF(K$1:K$73, "ب")</f>
        <v>10</v>
      </c>
      <c r="L75">
        <f t="shared" ref="L75:O75" si="0">COUNTIF(L$1:L$73, "ب")</f>
        <v>8</v>
      </c>
      <c r="M75">
        <f t="shared" si="0"/>
        <v>2</v>
      </c>
      <c r="N75">
        <f t="shared" si="0"/>
        <v>28</v>
      </c>
      <c r="O75">
        <f t="shared" si="0"/>
        <v>17</v>
      </c>
    </row>
    <row r="76" spans="1:20" x14ac:dyDescent="0.3">
      <c r="K76">
        <f t="shared" ref="K76:O76" si="1">COUNTIF(K$1:K$73, "ق")</f>
        <v>33</v>
      </c>
      <c r="L76">
        <f t="shared" si="1"/>
        <v>27</v>
      </c>
      <c r="M76">
        <f t="shared" si="1"/>
        <v>11</v>
      </c>
      <c r="N76">
        <f t="shared" si="1"/>
        <v>19</v>
      </c>
      <c r="O76">
        <f t="shared" si="1"/>
        <v>6</v>
      </c>
    </row>
    <row r="77" spans="1:20" x14ac:dyDescent="0.3">
      <c r="K77">
        <f>COUNTIF(K$1:K$73, "خ")</f>
        <v>4</v>
      </c>
      <c r="L77">
        <f t="shared" ref="L77:O77" si="2">COUNTIF(L$1:L$73, "خ")</f>
        <v>12</v>
      </c>
      <c r="M77">
        <f t="shared" si="2"/>
        <v>34</v>
      </c>
      <c r="N77">
        <f t="shared" si="2"/>
        <v>0</v>
      </c>
      <c r="O77">
        <f t="shared" si="2"/>
        <v>24</v>
      </c>
    </row>
    <row r="80" spans="1:20" x14ac:dyDescent="0.3">
      <c r="K80">
        <f>K77*1+K76*0-K75*1</f>
        <v>-6</v>
      </c>
      <c r="L80">
        <f t="shared" ref="L80:O80" si="3">L77*1+L76*0-L75*1</f>
        <v>4</v>
      </c>
      <c r="M80">
        <f t="shared" si="3"/>
        <v>32</v>
      </c>
      <c r="N80">
        <f t="shared" si="3"/>
        <v>-28</v>
      </c>
      <c r="O80">
        <f t="shared" si="3"/>
        <v>7</v>
      </c>
    </row>
  </sheetData>
  <sortState xmlns:xlrd2="http://schemas.microsoft.com/office/spreadsheetml/2017/richdata2" ref="A2:E75">
    <sortCondition ref="A31:A75"/>
  </sortState>
  <mergeCells count="2">
    <mergeCell ref="U2:U7"/>
    <mergeCell ref="U8:U13"/>
  </mergeCells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S.H.Jasbi</dc:creator>
  <cp:lastModifiedBy>S.H.Jasbi</cp:lastModifiedBy>
  <dcterms:created xsi:type="dcterms:W3CDTF">2025-12-13T07:18:46Z</dcterms:created>
  <dcterms:modified xsi:type="dcterms:W3CDTF">2025-12-25T13:06:11Z</dcterms:modified>
</cp:coreProperties>
</file>